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essé Alves\Desktop\"/>
    </mc:Choice>
  </mc:AlternateContent>
  <xr:revisionPtr revIDLastSave="0" documentId="13_ncr:1_{79409527-ED76-456F-ADBA-B644AE6CF4BF}" xr6:coauthVersionLast="47" xr6:coauthVersionMax="47" xr10:uidLastSave="{00000000-0000-0000-0000-000000000000}"/>
  <bookViews>
    <workbookView xWindow="-120" yWindow="-120" windowWidth="29040" windowHeight="15840" tabRatio="265" xr2:uid="{00000000-000D-0000-FFFF-FFFF00000000}"/>
  </bookViews>
  <sheets>
    <sheet name="Projeto" sheetId="2" r:id="rId1"/>
    <sheet name="TB_APOIO" sheetId="3" r:id="rId2"/>
  </sheets>
  <definedNames>
    <definedName name="aporte">Projeto!$E$15</definedName>
    <definedName name="patrimonio">Projeto!$E$18</definedName>
    <definedName name="qtd_anos">Projeto!$E$16</definedName>
    <definedName name="rendimento_carteira">Projeto!$E$11</definedName>
    <definedName name="salario">Projeto!$E$10</definedName>
    <definedName name="sugestao_ivenstimento">Projeto!$E$12</definedName>
    <definedName name="taxa_mensal">Projeto!$E$17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4" i="2" l="1"/>
  <c r="D35" i="2"/>
  <c r="D36" i="2"/>
  <c r="D37" i="2"/>
  <c r="D38" i="2"/>
  <c r="D33" i="2"/>
  <c r="H4" i="3"/>
  <c r="A9" i="3"/>
  <c r="A10" i="3"/>
  <c r="A11" i="3"/>
  <c r="A12" i="3"/>
  <c r="A13" i="3"/>
  <c r="A14" i="3"/>
  <c r="A15" i="3"/>
  <c r="A16" i="3"/>
  <c r="A17" i="3"/>
  <c r="A18" i="3"/>
  <c r="A19" i="3"/>
  <c r="A20" i="3"/>
  <c r="A4" i="3"/>
  <c r="A5" i="3"/>
  <c r="A6" i="3"/>
  <c r="A7" i="3"/>
  <c r="A8" i="3"/>
  <c r="A3" i="3"/>
  <c r="D30" i="2"/>
  <c r="E18" i="2"/>
  <c r="E19" i="2" s="1"/>
  <c r="E12" i="2"/>
  <c r="D23" i="2"/>
  <c r="E23" i="2" s="1"/>
  <c r="D24" i="2"/>
  <c r="E24" i="2" s="1"/>
  <c r="D25" i="2"/>
  <c r="E25" i="2" s="1"/>
  <c r="D26" i="2"/>
  <c r="E26" i="2" s="1"/>
  <c r="D22" i="2"/>
  <c r="E22" i="2" s="1"/>
  <c r="E33" i="2" l="1"/>
  <c r="E38" i="2"/>
  <c r="E37" i="2"/>
  <c r="E36" i="2"/>
  <c r="E35" i="2"/>
  <c r="E34" i="2"/>
  <c r="E39" i="2" l="1"/>
</calcChain>
</file>

<file path=xl/sharedStrings.xml><?xml version="1.0" encoding="utf-8"?>
<sst xmlns="http://schemas.openxmlformats.org/spreadsheetml/2006/main" count="71" uniqueCount="35">
  <si>
    <t>INVESTIMENTO MENSAL</t>
  </si>
  <si>
    <t>Quanto investir por mês?</t>
  </si>
  <si>
    <t>Por quantos anos?</t>
  </si>
  <si>
    <t>Taxa de Rendimento mensal?</t>
  </si>
  <si>
    <t>Cenários</t>
  </si>
  <si>
    <t>Quanto em 2 Anos?</t>
  </si>
  <si>
    <t>Quanto em 5 Anos?</t>
  </si>
  <si>
    <t>Quanto em 10 Anos?</t>
  </si>
  <si>
    <t>Quanto em 20 Anos?</t>
  </si>
  <si>
    <t>Quanto em 30 Anos?</t>
  </si>
  <si>
    <t>Dividendo</t>
  </si>
  <si>
    <t>Salário</t>
  </si>
  <si>
    <t>Rendimento Carteira</t>
  </si>
  <si>
    <t>Investimento Mensal</t>
  </si>
  <si>
    <t>Conservador</t>
  </si>
  <si>
    <t>Moderado</t>
  </si>
  <si>
    <t>Agressivo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</si>
  <si>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</si>
  <si>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</si>
  <si>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</si>
  <si>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</si>
  <si>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</si>
  <si>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</si>
  <si>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</si>
  <si>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</si>
  <si>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</si>
  <si>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</si>
  <si>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TIPOS DE FII</t>
  </si>
  <si>
    <t>%</t>
  </si>
  <si>
    <t>CHAVE</t>
  </si>
  <si>
    <t>Moderado-TIJOLO</t>
  </si>
  <si>
    <t>Sugestão de Investimento (30%)</t>
  </si>
  <si>
    <t>CONFIGURAÇÕES</t>
  </si>
  <si>
    <t>Patrimônio acumulado:</t>
  </si>
  <si>
    <t>Dividendos Mensais: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</si>
</sst>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6" formatCode="&quot;R$&quot;\ 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0"/>
      <name val="Segoe UI"/>
      <family val="2"/>
    </font>
    <font>
      <b/>
      <sz val="11"/>
      <color rgb="FF9C5700"/>
      <name val="Calibri"/>
      <family val="2"/>
      <scheme val="minor"/>
    </font>
    <font>
      <sz val="12"/>
      <color rgb="FF9C57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49998474074526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Dashed">
        <color theme="2"/>
      </bottom>
      <diagonal/>
    </border>
    <border>
      <left/>
      <right/>
      <top style="mediumDashed">
        <color theme="2"/>
      </top>
      <bottom style="mediumDashed">
        <color theme="2"/>
      </bottom>
      <diagonal/>
    </border>
    <border>
      <left/>
      <right/>
      <top style="mediumDashed">
        <color theme="2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center"/>
    </xf>
    <xf numFmtId="0" fontId="5" fillId="5" borderId="0" xfId="0" applyFont="1" applyFill="1"/>
    <xf numFmtId="0" fontId="7" fillId="3" borderId="2" xfId="0" applyFont="1" applyFill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8" fillId="6" borderId="8" xfId="0" applyFont="1" applyFill="1" applyBorder="1" applyAlignment="1">
      <alignment horizontal="center"/>
    </xf>
    <xf numFmtId="0" fontId="8" fillId="6" borderId="8" xfId="0" applyFont="1" applyFill="1" applyBorder="1" applyAlignment="1">
      <alignment horizontal="center"/>
    </xf>
    <xf numFmtId="0" fontId="8" fillId="6" borderId="10" xfId="0" applyFont="1" applyFill="1" applyBorder="1" applyAlignment="1">
      <alignment horizontal="center"/>
    </xf>
    <xf numFmtId="0" fontId="8" fillId="6" borderId="10" xfId="0" applyFont="1" applyFill="1" applyBorder="1" applyAlignment="1">
      <alignment horizontal="center"/>
    </xf>
    <xf numFmtId="0" fontId="8" fillId="6" borderId="12" xfId="0" applyFont="1" applyFill="1" applyBorder="1" applyAlignment="1">
      <alignment horizontal="center"/>
    </xf>
    <xf numFmtId="0" fontId="8" fillId="6" borderId="12" xfId="0" applyFont="1" applyFill="1" applyBorder="1" applyAlignment="1">
      <alignment horizontal="center"/>
    </xf>
    <xf numFmtId="0" fontId="8" fillId="6" borderId="14" xfId="0" applyFont="1" applyFill="1" applyBorder="1" applyAlignment="1">
      <alignment horizontal="center"/>
    </xf>
    <xf numFmtId="0" fontId="8" fillId="6" borderId="15" xfId="0" applyFont="1" applyFill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10" fillId="4" borderId="15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0" borderId="8" xfId="0" applyFont="1" applyBorder="1" applyAlignment="1">
      <alignment horizontal="center"/>
    </xf>
    <xf numFmtId="166" fontId="4" fillId="0" borderId="9" xfId="1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0" fontId="4" fillId="0" borderId="11" xfId="0" applyNumberFormat="1" applyFont="1" applyBorder="1" applyAlignment="1">
      <alignment horizontal="center"/>
    </xf>
    <xf numFmtId="0" fontId="10" fillId="4" borderId="10" xfId="0" applyFont="1" applyFill="1" applyBorder="1" applyAlignment="1">
      <alignment horizontal="center"/>
    </xf>
    <xf numFmtId="8" fontId="4" fillId="4" borderId="11" xfId="0" applyNumberFormat="1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"/>
    </xf>
    <xf numFmtId="0" fontId="10" fillId="4" borderId="16" xfId="0" applyFont="1" applyFill="1" applyBorder="1" applyAlignment="1">
      <alignment horizontal="center"/>
    </xf>
    <xf numFmtId="8" fontId="4" fillId="4" borderId="13" xfId="0" applyNumberFormat="1" applyFont="1" applyFill="1" applyBorder="1" applyAlignment="1">
      <alignment horizontal="center"/>
    </xf>
    <xf numFmtId="8" fontId="0" fillId="6" borderId="14" xfId="0" applyNumberFormat="1" applyFill="1" applyBorder="1" applyAlignment="1">
      <alignment horizontal="center"/>
    </xf>
    <xf numFmtId="8" fontId="0" fillId="6" borderId="15" xfId="0" applyNumberFormat="1" applyFill="1" applyBorder="1" applyAlignment="1">
      <alignment horizontal="center"/>
    </xf>
    <xf numFmtId="8" fontId="0" fillId="6" borderId="16" xfId="0" applyNumberFormat="1" applyFill="1" applyBorder="1" applyAlignment="1">
      <alignment horizontal="center"/>
    </xf>
    <xf numFmtId="166" fontId="0" fillId="0" borderId="9" xfId="1" applyNumberFormat="1" applyFont="1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2" fillId="2" borderId="0" xfId="2" applyAlignment="1">
      <alignment horizontal="center"/>
    </xf>
    <xf numFmtId="0" fontId="12" fillId="2" borderId="0" xfId="2" applyFont="1" applyBorder="1" applyAlignment="1">
      <alignment horizontal="center"/>
    </xf>
    <xf numFmtId="0" fontId="5" fillId="7" borderId="0" xfId="0" applyFont="1" applyFill="1"/>
    <xf numFmtId="0" fontId="4" fillId="4" borderId="0" xfId="0" applyFont="1" applyFill="1"/>
    <xf numFmtId="0" fontId="3" fillId="7" borderId="0" xfId="0" applyFont="1" applyFill="1"/>
    <xf numFmtId="0" fontId="0" fillId="0" borderId="1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9" fontId="2" fillId="2" borderId="0" xfId="2" applyNumberFormat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2" borderId="0" xfId="2" applyFont="1" applyAlignment="1">
      <alignment horizontal="center"/>
    </xf>
    <xf numFmtId="166" fontId="4" fillId="4" borderId="0" xfId="0" applyNumberFormat="1" applyFont="1" applyFill="1" applyAlignment="1">
      <alignment horizontal="right"/>
    </xf>
    <xf numFmtId="166" fontId="0" fillId="0" borderId="18" xfId="0" applyNumberFormat="1" applyBorder="1" applyAlignment="1">
      <alignment horizontal="right"/>
    </xf>
    <xf numFmtId="166" fontId="0" fillId="0" borderId="19" xfId="0" applyNumberFormat="1" applyBorder="1" applyAlignment="1">
      <alignment horizontal="right"/>
    </xf>
    <xf numFmtId="166" fontId="0" fillId="0" borderId="20" xfId="0" applyNumberFormat="1" applyBorder="1" applyAlignment="1">
      <alignment horizontal="right"/>
    </xf>
    <xf numFmtId="9" fontId="0" fillId="0" borderId="18" xfId="0" applyNumberFormat="1" applyBorder="1" applyAlignment="1">
      <alignment horizontal="center"/>
    </xf>
    <xf numFmtId="9" fontId="0" fillId="0" borderId="19" xfId="0" applyNumberFormat="1" applyBorder="1" applyAlignment="1">
      <alignment horizontal="center"/>
    </xf>
    <xf numFmtId="9" fontId="0" fillId="0" borderId="20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8" fontId="0" fillId="6" borderId="9" xfId="0" applyNumberFormat="1" applyFill="1" applyBorder="1" applyAlignment="1">
      <alignment horizontal="right"/>
    </xf>
    <xf numFmtId="8" fontId="0" fillId="6" borderId="11" xfId="0" applyNumberFormat="1" applyFill="1" applyBorder="1" applyAlignment="1">
      <alignment horizontal="right"/>
    </xf>
    <xf numFmtId="8" fontId="0" fillId="6" borderId="13" xfId="0" applyNumberFormat="1" applyFill="1" applyBorder="1" applyAlignment="1">
      <alignment horizontal="right"/>
    </xf>
    <xf numFmtId="0" fontId="9" fillId="3" borderId="2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166" fontId="3" fillId="7" borderId="0" xfId="0" applyNumberFormat="1" applyFont="1" applyFill="1" applyAlignment="1">
      <alignment horizontal="right"/>
    </xf>
  </cellXfs>
  <cellStyles count="3"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Projeto!$C$33:$C$38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Projeto!$D$33:$D$38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1A-4B51-88CD-763EF0ACE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466724</xdr:colOff>
      <xdr:row>1</xdr:row>
      <xdr:rowOff>152400</xdr:rowOff>
    </xdr:from>
    <xdr:to>
      <xdr:col>5</xdr:col>
      <xdr:colOff>66674</xdr:colOff>
      <xdr:row>6</xdr:row>
      <xdr:rowOff>38100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92460BC-7E02-47A6-5220-8932967161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07" t="22222" r="2124" b="23457"/>
        <a:stretch>
          <a:fillRect/>
        </a:stretch>
      </xdr:blipFill>
      <xdr:spPr>
        <a:xfrm>
          <a:off x="952499" y="342900"/>
          <a:ext cx="7743825" cy="838200"/>
        </a:xfrm>
        <a:prstGeom prst="rect">
          <a:avLst/>
        </a:prstGeom>
        <a:ln w="190500" cap="sq">
          <a:solidFill>
            <a:srgbClr val="C8C6BD"/>
          </a:solidFill>
          <a:prstDash val="solid"/>
          <a:miter lim="800000"/>
        </a:ln>
        <a:effectLst>
          <a:outerShdw blurRad="254000" algn="bl" rotWithShape="0">
            <a:srgbClr val="000000">
              <a:alpha val="43000"/>
            </a:srgbClr>
          </a:outerShdw>
        </a:effectLst>
        <a:scene3d>
          <a:camera prst="perspectiveFront" fov="5400000"/>
          <a:lightRig rig="threePt" dir="t">
            <a:rot lat="0" lon="0" rev="21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>
    <xdr:from>
      <xdr:col>2</xdr:col>
      <xdr:colOff>23812</xdr:colOff>
      <xdr:row>40</xdr:row>
      <xdr:rowOff>185737</xdr:rowOff>
    </xdr:from>
    <xdr:to>
      <xdr:col>4</xdr:col>
      <xdr:colOff>1333500</xdr:colOff>
      <xdr:row>54</xdr:row>
      <xdr:rowOff>71437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2D17850-431F-013F-0A25-94915A29F6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E6269-7573-4143-9A57-51291500C5F2}">
  <dimension ref="A8:L39"/>
  <sheetViews>
    <sheetView showGridLines="0" tabSelected="1" topLeftCell="B19" workbookViewId="0">
      <selection activeCell="C21" sqref="C21:D21"/>
    </sheetView>
  </sheetViews>
  <sheetFormatPr defaultColWidth="0" defaultRowHeight="15" x14ac:dyDescent="0.25"/>
  <cols>
    <col min="1" max="2" width="7.28515625" customWidth="1"/>
    <col min="3" max="3" width="32.42578125" customWidth="1"/>
    <col min="4" max="4" width="61.5703125" customWidth="1"/>
    <col min="5" max="5" width="20.85546875" style="1" bestFit="1" customWidth="1"/>
    <col min="6" max="6" width="10" customWidth="1"/>
    <col min="7" max="7" width="9.140625" hidden="1"/>
    <col min="8" max="8" width="10" hidden="1"/>
    <col min="9" max="11" width="9.140625" hidden="1"/>
    <col min="12" max="12" width="10" hidden="1"/>
    <col min="13" max="16384" width="9.140625" hidden="1"/>
  </cols>
  <sheetData>
    <row r="8" spans="3:5" ht="15.75" thickBot="1" x14ac:dyDescent="0.3"/>
    <row r="9" spans="3:5" ht="26.25" x14ac:dyDescent="0.4">
      <c r="C9" s="50" t="s">
        <v>32</v>
      </c>
      <c r="D9" s="51"/>
      <c r="E9" s="66"/>
    </row>
    <row r="10" spans="3:5" ht="15.75" x14ac:dyDescent="0.25">
      <c r="C10" s="6" t="s">
        <v>11</v>
      </c>
      <c r="D10" s="11"/>
      <c r="E10" s="30">
        <v>4200</v>
      </c>
    </row>
    <row r="11" spans="3:5" ht="15.75" x14ac:dyDescent="0.25">
      <c r="C11" s="8" t="s">
        <v>12</v>
      </c>
      <c r="D11" s="12"/>
      <c r="E11" s="4">
        <v>6.0000000000000001E-3</v>
      </c>
    </row>
    <row r="12" spans="3:5" ht="16.5" thickBot="1" x14ac:dyDescent="0.3">
      <c r="C12" s="10" t="s">
        <v>31</v>
      </c>
      <c r="D12" s="16"/>
      <c r="E12" s="31">
        <f>E10*30%</f>
        <v>1260</v>
      </c>
    </row>
    <row r="13" spans="3:5" ht="15.75" thickBot="1" x14ac:dyDescent="0.3"/>
    <row r="14" spans="3:5" ht="30.75" x14ac:dyDescent="0.55000000000000004">
      <c r="C14" s="32" t="s">
        <v>13</v>
      </c>
      <c r="D14" s="33"/>
      <c r="E14" s="3"/>
    </row>
    <row r="15" spans="3:5" ht="15.75" x14ac:dyDescent="0.25">
      <c r="C15" s="17" t="s">
        <v>1</v>
      </c>
      <c r="D15" s="13"/>
      <c r="E15" s="18">
        <v>200</v>
      </c>
    </row>
    <row r="16" spans="3:5" ht="15.75" x14ac:dyDescent="0.25">
      <c r="C16" s="19" t="s">
        <v>2</v>
      </c>
      <c r="D16" s="14"/>
      <c r="E16" s="20">
        <v>5</v>
      </c>
    </row>
    <row r="17" spans="1:5" ht="15.75" x14ac:dyDescent="0.25">
      <c r="C17" s="19" t="s">
        <v>3</v>
      </c>
      <c r="D17" s="14"/>
      <c r="E17" s="21">
        <v>1.0789999999999999E-2</v>
      </c>
    </row>
    <row r="18" spans="1:5" ht="15.75" x14ac:dyDescent="0.25">
      <c r="C18" s="22" t="s">
        <v>33</v>
      </c>
      <c r="D18" s="15"/>
      <c r="E18" s="23">
        <f>FV(taxa_mensal,qtd_anos*12,aporte*-1)</f>
        <v>16755.382799697527</v>
      </c>
    </row>
    <row r="19" spans="1:5" ht="16.5" thickBot="1" x14ac:dyDescent="0.3">
      <c r="C19" s="24" t="s">
        <v>34</v>
      </c>
      <c r="D19" s="25"/>
      <c r="E19" s="26">
        <f>patrimonio*rendimento_carteira</f>
        <v>100.53229679818516</v>
      </c>
    </row>
    <row r="20" spans="1:5" ht="15.75" thickBot="1" x14ac:dyDescent="0.3"/>
    <row r="21" spans="1:5" ht="30.75" x14ac:dyDescent="0.55000000000000004">
      <c r="C21" s="32" t="s">
        <v>4</v>
      </c>
      <c r="D21" s="33"/>
      <c r="E21" s="34" t="s">
        <v>10</v>
      </c>
    </row>
    <row r="22" spans="1:5" ht="15.75" x14ac:dyDescent="0.25">
      <c r="A22" s="2">
        <v>2</v>
      </c>
      <c r="B22" s="2"/>
      <c r="C22" s="5" t="s">
        <v>5</v>
      </c>
      <c r="D22" s="27">
        <f>FV($E$17,$A22*12,$E$15*-1)</f>
        <v>5445.5254595290435</v>
      </c>
      <c r="E22" s="63">
        <f>D22*$E$11+rendimento_carteira</f>
        <v>32.679152757174265</v>
      </c>
    </row>
    <row r="23" spans="1:5" ht="15.75" x14ac:dyDescent="0.25">
      <c r="A23" s="2">
        <v>5</v>
      </c>
      <c r="B23" s="2"/>
      <c r="C23" s="7" t="s">
        <v>6</v>
      </c>
      <c r="D23" s="28">
        <f>FV($E$17,$A23*12,$E$15*-1)</f>
        <v>16755.382799697527</v>
      </c>
      <c r="E23" s="64">
        <f>D23*$E$11+rendimento_carteira</f>
        <v>100.53829679818516</v>
      </c>
    </row>
    <row r="24" spans="1:5" ht="15.75" x14ac:dyDescent="0.25">
      <c r="A24" s="2">
        <v>10</v>
      </c>
      <c r="B24" s="2"/>
      <c r="C24" s="7" t="s">
        <v>7</v>
      </c>
      <c r="D24" s="28">
        <f>FV($E$17,$A24*12,$E$15*-1)</f>
        <v>48656.842506034438</v>
      </c>
      <c r="E24" s="64">
        <f>D24*$E$11+rendimento_carteira</f>
        <v>291.94705503620662</v>
      </c>
    </row>
    <row r="25" spans="1:5" ht="15.75" x14ac:dyDescent="0.25">
      <c r="A25" s="2">
        <v>20</v>
      </c>
      <c r="B25" s="2"/>
      <c r="C25" s="7" t="s">
        <v>8</v>
      </c>
      <c r="D25" s="28">
        <f>FV($E$17,$A25*12,$E$15*-1)</f>
        <v>225039.68001941612</v>
      </c>
      <c r="E25" s="64">
        <f>D25*$E$11+rendimento_carteira</f>
        <v>1350.2440801164969</v>
      </c>
    </row>
    <row r="26" spans="1:5" ht="16.5" thickBot="1" x14ac:dyDescent="0.3">
      <c r="A26" s="2">
        <v>30</v>
      </c>
      <c r="B26" s="2"/>
      <c r="C26" s="9" t="s">
        <v>9</v>
      </c>
      <c r="D26" s="29">
        <f>FV($E$17,$A26*12,$E$15*-1)</f>
        <v>864433.93100094295</v>
      </c>
      <c r="E26" s="65">
        <f>D26*$E$11+rendimento_carteira</f>
        <v>5186.6095860056585</v>
      </c>
    </row>
    <row r="29" spans="1:5" ht="15.75" x14ac:dyDescent="0.25">
      <c r="C29" s="36" t="s">
        <v>17</v>
      </c>
      <c r="D29" s="52" t="s">
        <v>16</v>
      </c>
      <c r="E29" s="52"/>
    </row>
    <row r="30" spans="1:5" x14ac:dyDescent="0.25">
      <c r="C30" s="38" t="s">
        <v>0</v>
      </c>
      <c r="D30" s="53">
        <f>aporte</f>
        <v>200</v>
      </c>
      <c r="E30" s="53"/>
    </row>
    <row r="32" spans="1:5" x14ac:dyDescent="0.25">
      <c r="C32" s="39" t="s">
        <v>18</v>
      </c>
      <c r="D32" s="39" t="s">
        <v>19</v>
      </c>
      <c r="E32" s="67" t="s">
        <v>20</v>
      </c>
    </row>
    <row r="33" spans="3:5" ht="15.75" thickBot="1" x14ac:dyDescent="0.3">
      <c r="C33" s="60" t="s">
        <v>21</v>
      </c>
      <c r="D33" s="57">
        <f>VLOOKUP($D$29&amp;"-"&amp;C33,TB_APOIO!$A:$D,4,FALSE)</f>
        <v>0.5</v>
      </c>
      <c r="E33" s="54">
        <f>D33*$D$30</f>
        <v>100</v>
      </c>
    </row>
    <row r="34" spans="3:5" ht="15.75" thickBot="1" x14ac:dyDescent="0.3">
      <c r="C34" s="61" t="s">
        <v>22</v>
      </c>
      <c r="D34" s="58">
        <f>VLOOKUP($D$29&amp;"-"&amp;C34,TB_APOIO!$A:$D,4,FALSE)</f>
        <v>0.1</v>
      </c>
      <c r="E34" s="55">
        <f t="shared" ref="E34:E38" si="0">D34*$D$30</f>
        <v>20</v>
      </c>
    </row>
    <row r="35" spans="3:5" ht="15.75" thickBot="1" x14ac:dyDescent="0.3">
      <c r="C35" s="61" t="s">
        <v>23</v>
      </c>
      <c r="D35" s="58">
        <f>VLOOKUP($D$29&amp;"-"&amp;C35,TB_APOIO!$A:$D,4,FALSE)</f>
        <v>0.05</v>
      </c>
      <c r="E35" s="55">
        <f t="shared" si="0"/>
        <v>10</v>
      </c>
    </row>
    <row r="36" spans="3:5" ht="15.75" thickBot="1" x14ac:dyDescent="0.3">
      <c r="C36" s="61" t="s">
        <v>24</v>
      </c>
      <c r="D36" s="58">
        <f>VLOOKUP($D$29&amp;"-"&amp;C36,TB_APOIO!$A:$D,4,FALSE)</f>
        <v>0.05</v>
      </c>
      <c r="E36" s="55">
        <f t="shared" si="0"/>
        <v>10</v>
      </c>
    </row>
    <row r="37" spans="3:5" ht="15.75" thickBot="1" x14ac:dyDescent="0.3">
      <c r="C37" s="61" t="s">
        <v>25</v>
      </c>
      <c r="D37" s="58">
        <f>VLOOKUP($D$29&amp;"-"&amp;C37,TB_APOIO!$A:$D,4,FALSE)</f>
        <v>0.2</v>
      </c>
      <c r="E37" s="55">
        <f t="shared" si="0"/>
        <v>40</v>
      </c>
    </row>
    <row r="38" spans="3:5" x14ac:dyDescent="0.25">
      <c r="C38" s="62" t="s">
        <v>26</v>
      </c>
      <c r="D38" s="59">
        <f>VLOOKUP($D$29&amp;"-"&amp;C38,TB_APOIO!$A:$D,4,FALSE)</f>
        <v>0.1</v>
      </c>
      <c r="E38" s="56">
        <f t="shared" si="0"/>
        <v>20</v>
      </c>
    </row>
    <row r="39" spans="3:5" x14ac:dyDescent="0.25">
      <c r="C39" s="37"/>
      <c r="D39" s="37"/>
      <c r="E39" s="68">
        <f>SUM(E33:E38)</f>
        <v>200</v>
      </c>
    </row>
  </sheetData>
  <mergeCells count="13">
    <mergeCell ref="C9:D9"/>
    <mergeCell ref="C10:D10"/>
    <mergeCell ref="C11:D11"/>
    <mergeCell ref="C12:D12"/>
    <mergeCell ref="D30:E30"/>
    <mergeCell ref="D29:E29"/>
    <mergeCell ref="C14:D14"/>
    <mergeCell ref="C21:D21"/>
    <mergeCell ref="C15:D15"/>
    <mergeCell ref="C16:D16"/>
    <mergeCell ref="C17:D17"/>
    <mergeCell ref="C18:D18"/>
    <mergeCell ref="C19:D19"/>
  </mergeCells>
  <dataValidations count="1">
    <dataValidation type="list" allowBlank="1" showInputMessage="1" showErrorMessage="1" sqref="D29" xr:uid="{11EA328C-02E5-4054-8400-3251BB233CBA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E6C71-79ED-4E56-8970-1F6A711E80BE}">
  <dimension ref="A1:H20"/>
  <sheetViews>
    <sheetView workbookViewId="0">
      <selection activeCell="D9" sqref="D9:D14"/>
    </sheetView>
  </sheetViews>
  <sheetFormatPr defaultRowHeight="15" x14ac:dyDescent="0.25"/>
  <cols>
    <col min="1" max="1" width="31.28515625" style="1" bestFit="1" customWidth="1"/>
    <col min="2" max="2" width="12.140625" style="1" bestFit="1" customWidth="1"/>
    <col min="3" max="3" width="19" style="1" bestFit="1" customWidth="1"/>
    <col min="4" max="6" width="9.140625" style="1"/>
    <col min="7" max="7" width="17" style="1" bestFit="1" customWidth="1"/>
    <col min="8" max="16384" width="9.140625" style="1"/>
  </cols>
  <sheetData>
    <row r="1" spans="1:8" ht="15.75" thickBot="1" x14ac:dyDescent="0.3"/>
    <row r="2" spans="1:8" x14ac:dyDescent="0.25">
      <c r="A2" s="41" t="s">
        <v>29</v>
      </c>
      <c r="B2" s="42" t="s">
        <v>17</v>
      </c>
      <c r="C2" s="42" t="s">
        <v>27</v>
      </c>
      <c r="D2" s="43" t="s">
        <v>28</v>
      </c>
    </row>
    <row r="3" spans="1:8" x14ac:dyDescent="0.25">
      <c r="A3" s="44" t="str">
        <f>B3&amp;"-"&amp;C3</f>
        <v>Conservador-PAPEL</v>
      </c>
      <c r="B3" s="45" t="s">
        <v>14</v>
      </c>
      <c r="C3" s="45" t="s">
        <v>21</v>
      </c>
      <c r="D3" s="46">
        <v>0.3</v>
      </c>
      <c r="H3" s="1" t="s">
        <v>28</v>
      </c>
    </row>
    <row r="4" spans="1:8" x14ac:dyDescent="0.25">
      <c r="A4" s="44" t="str">
        <f t="shared" ref="A4:A20" si="0">B4&amp;"-"&amp;C4</f>
        <v>Conservador-TIJOLO</v>
      </c>
      <c r="B4" s="45" t="s">
        <v>14</v>
      </c>
      <c r="C4" s="45" t="s">
        <v>22</v>
      </c>
      <c r="D4" s="46">
        <v>0.5</v>
      </c>
      <c r="G4" s="35" t="s">
        <v>30</v>
      </c>
      <c r="H4" s="49">
        <f>VLOOKUP(G4,$A:$D,4,)</f>
        <v>0.35</v>
      </c>
    </row>
    <row r="5" spans="1:8" x14ac:dyDescent="0.25">
      <c r="A5" s="44" t="str">
        <f t="shared" si="0"/>
        <v>Conservador-HÍBRIDOS</v>
      </c>
      <c r="B5" s="45" t="s">
        <v>14</v>
      </c>
      <c r="C5" s="45" t="s">
        <v>23</v>
      </c>
      <c r="D5" s="46">
        <v>0.1</v>
      </c>
    </row>
    <row r="6" spans="1:8" x14ac:dyDescent="0.25">
      <c r="A6" s="44" t="str">
        <f t="shared" si="0"/>
        <v>Conservador-FOFs</v>
      </c>
      <c r="B6" s="45" t="s">
        <v>14</v>
      </c>
      <c r="C6" s="45" t="s">
        <v>24</v>
      </c>
      <c r="D6" s="46">
        <v>0.1</v>
      </c>
    </row>
    <row r="7" spans="1:8" x14ac:dyDescent="0.25">
      <c r="A7" s="44" t="str">
        <f t="shared" si="0"/>
        <v>Conservador-DESENVOLVIMENTO</v>
      </c>
      <c r="B7" s="45" t="s">
        <v>14</v>
      </c>
      <c r="C7" s="45" t="s">
        <v>25</v>
      </c>
      <c r="D7" s="46">
        <v>0</v>
      </c>
    </row>
    <row r="8" spans="1:8" ht="15.75" thickBot="1" x14ac:dyDescent="0.3">
      <c r="A8" s="47" t="str">
        <f t="shared" si="0"/>
        <v>Conservador-HOTELARIAS</v>
      </c>
      <c r="B8" s="40" t="s">
        <v>14</v>
      </c>
      <c r="C8" s="40" t="s">
        <v>26</v>
      </c>
      <c r="D8" s="48">
        <v>0</v>
      </c>
    </row>
    <row r="9" spans="1:8" x14ac:dyDescent="0.25">
      <c r="A9" s="44" t="str">
        <f t="shared" si="0"/>
        <v>Moderado-PAPEL</v>
      </c>
      <c r="B9" s="45" t="s">
        <v>15</v>
      </c>
      <c r="C9" s="45" t="s">
        <v>21</v>
      </c>
      <c r="D9" s="46">
        <v>0.32</v>
      </c>
    </row>
    <row r="10" spans="1:8" x14ac:dyDescent="0.25">
      <c r="A10" s="44" t="str">
        <f t="shared" si="0"/>
        <v>Moderado-TIJOLO</v>
      </c>
      <c r="B10" s="45" t="s">
        <v>15</v>
      </c>
      <c r="C10" s="45" t="s">
        <v>22</v>
      </c>
      <c r="D10" s="46">
        <v>0.35</v>
      </c>
    </row>
    <row r="11" spans="1:8" x14ac:dyDescent="0.25">
      <c r="A11" s="44" t="str">
        <f t="shared" si="0"/>
        <v>Moderado-HÍBRIDOS</v>
      </c>
      <c r="B11" s="45" t="s">
        <v>15</v>
      </c>
      <c r="C11" s="45" t="s">
        <v>23</v>
      </c>
      <c r="D11" s="46">
        <v>0.08</v>
      </c>
    </row>
    <row r="12" spans="1:8" x14ac:dyDescent="0.25">
      <c r="A12" s="44" t="str">
        <f t="shared" si="0"/>
        <v>Moderado-FOFs</v>
      </c>
      <c r="B12" s="45" t="s">
        <v>15</v>
      </c>
      <c r="C12" s="45" t="s">
        <v>24</v>
      </c>
      <c r="D12" s="46">
        <v>0.05</v>
      </c>
    </row>
    <row r="13" spans="1:8" x14ac:dyDescent="0.25">
      <c r="A13" s="44" t="str">
        <f t="shared" si="0"/>
        <v>Moderado-DESENVOLVIMENTO</v>
      </c>
      <c r="B13" s="45" t="s">
        <v>15</v>
      </c>
      <c r="C13" s="45" t="s">
        <v>25</v>
      </c>
      <c r="D13" s="46">
        <v>0.1</v>
      </c>
    </row>
    <row r="14" spans="1:8" ht="15.75" thickBot="1" x14ac:dyDescent="0.3">
      <c r="A14" s="47" t="str">
        <f t="shared" si="0"/>
        <v>Moderado-HOTELARIAS</v>
      </c>
      <c r="B14" s="40" t="s">
        <v>15</v>
      </c>
      <c r="C14" s="40" t="s">
        <v>26</v>
      </c>
      <c r="D14" s="48">
        <v>0.1</v>
      </c>
    </row>
    <row r="15" spans="1:8" x14ac:dyDescent="0.25">
      <c r="A15" s="44" t="str">
        <f t="shared" si="0"/>
        <v>Agressivo-PAPEL</v>
      </c>
      <c r="B15" s="45" t="s">
        <v>16</v>
      </c>
      <c r="C15" s="45" t="s">
        <v>21</v>
      </c>
      <c r="D15" s="46">
        <v>0.5</v>
      </c>
    </row>
    <row r="16" spans="1:8" x14ac:dyDescent="0.25">
      <c r="A16" s="44" t="str">
        <f t="shared" si="0"/>
        <v>Agressivo-TIJOLO</v>
      </c>
      <c r="B16" s="45" t="s">
        <v>16</v>
      </c>
      <c r="C16" s="45" t="s">
        <v>22</v>
      </c>
      <c r="D16" s="46">
        <v>0.1</v>
      </c>
    </row>
    <row r="17" spans="1:4" x14ac:dyDescent="0.25">
      <c r="A17" s="44" t="str">
        <f t="shared" si="0"/>
        <v>Agressivo-HÍBRIDOS</v>
      </c>
      <c r="B17" s="45" t="s">
        <v>16</v>
      </c>
      <c r="C17" s="45" t="s">
        <v>23</v>
      </c>
      <c r="D17" s="46">
        <v>0.05</v>
      </c>
    </row>
    <row r="18" spans="1:4" x14ac:dyDescent="0.25">
      <c r="A18" s="44" t="str">
        <f t="shared" si="0"/>
        <v>Agressivo-FOFs</v>
      </c>
      <c r="B18" s="45" t="s">
        <v>16</v>
      </c>
      <c r="C18" s="45" t="s">
        <v>24</v>
      </c>
      <c r="D18" s="46">
        <v>0.05</v>
      </c>
    </row>
    <row r="19" spans="1:4" x14ac:dyDescent="0.25">
      <c r="A19" s="44" t="str">
        <f t="shared" si="0"/>
        <v>Agressivo-DESENVOLVIMENTO</v>
      </c>
      <c r="B19" s="45" t="s">
        <v>16</v>
      </c>
      <c r="C19" s="45" t="s">
        <v>25</v>
      </c>
      <c r="D19" s="46">
        <v>0.2</v>
      </c>
    </row>
    <row r="20" spans="1:4" ht="15.75" thickBot="1" x14ac:dyDescent="0.3">
      <c r="A20" s="47" t="str">
        <f t="shared" si="0"/>
        <v>Agressivo-HOTELARIAS</v>
      </c>
      <c r="B20" s="40" t="s">
        <v>16</v>
      </c>
      <c r="C20" s="40" t="s">
        <v>26</v>
      </c>
      <c r="D20" s="48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Projeto</vt:lpstr>
      <vt:lpstr>TB_APOIO</vt:lpstr>
      <vt:lpstr>aporte</vt:lpstr>
      <vt:lpstr>patrimonio</vt:lpstr>
      <vt:lpstr>qtd_anos</vt:lpstr>
      <vt:lpstr>rendimento_carteira</vt:lpstr>
      <vt:lpstr>salario</vt:lpstr>
      <vt:lpstr>sugestao_ivenstimento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Alves de Oliveira</dc:creator>
  <cp:lastModifiedBy>Jesse Alves</cp:lastModifiedBy>
  <dcterms:created xsi:type="dcterms:W3CDTF">2015-06-05T18:17:20Z</dcterms:created>
  <dcterms:modified xsi:type="dcterms:W3CDTF">2026-10-12T19:12:13Z</dcterms:modified>
</cp:coreProperties>
</file>